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ni23059\Desktop\"/>
    </mc:Choice>
  </mc:AlternateContent>
  <xr:revisionPtr revIDLastSave="0" documentId="13_ncr:1_{CB165FB6-8AFE-40CE-A325-C31B376D7350}" xr6:coauthVersionLast="47" xr6:coauthVersionMax="47" xr10:uidLastSave="{00000000-0000-0000-0000-000000000000}"/>
  <bookViews>
    <workbookView xWindow="7680" yWindow="-17388" windowWidth="30936" windowHeight="16776" xr2:uid="{00000000-000D-0000-FFFF-FFFF00000000}"/>
  </bookViews>
  <sheets>
    <sheet name="テーブル" sheetId="2" r:id="rId1"/>
    <sheet name="Sheet1" sheetId="1" r:id="rId2"/>
  </sheets>
  <externalReferences>
    <externalReference r:id="rId3"/>
  </externalReferences>
  <definedNames>
    <definedName name="参照図" xml:space="preserve"> INDEX(#REF!,MATCH(#REF!,#REF!, 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3" i="2" l="1"/>
  <c r="J60" i="2"/>
  <c r="F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After</author>
  </authors>
  <commentList>
    <comment ref="B3" authorId="0" shapeId="0" xr:uid="{028C7084-79C7-4279-9ECC-2DA60CF23D9C}">
      <text>
        <r>
          <rPr>
            <b/>
            <sz val="9"/>
            <color indexed="81"/>
            <rFont val="MS P ゴシック"/>
            <family val="3"/>
            <charset val="128"/>
          </rPr>
          <t>賃率（チャージ）
20241001より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<sst xmlns="http://schemas.openxmlformats.org/spreadsheetml/2006/main" count="119" uniqueCount="48">
  <si>
    <t>M番</t>
    <rPh sb="1" eb="2">
      <t>バン</t>
    </rPh>
    <phoneticPr fontId="4"/>
  </si>
  <si>
    <t>T仕切</t>
    <rPh sb="1" eb="3">
      <t>シキ</t>
    </rPh>
    <phoneticPr fontId="4"/>
  </si>
  <si>
    <t>20231001より</t>
    <phoneticPr fontId="4"/>
  </si>
  <si>
    <t>20220121から20230930まで</t>
    <phoneticPr fontId="4"/>
  </si>
  <si>
    <t>20220120までの掛率</t>
    <rPh sb="11" eb="13">
      <t>カケリツ</t>
    </rPh>
    <phoneticPr fontId="4"/>
  </si>
  <si>
    <t>UP</t>
    <phoneticPr fontId="4"/>
  </si>
  <si>
    <t>チャージ</t>
    <phoneticPr fontId="4"/>
  </si>
  <si>
    <t>原価ベースの価格帯</t>
    <rPh sb="0" eb="2">
      <t>ゲンカ</t>
    </rPh>
    <rPh sb="6" eb="9">
      <t>カカクタイ</t>
    </rPh>
    <phoneticPr fontId="4"/>
  </si>
  <si>
    <t>原価掛率</t>
    <rPh sb="0" eb="2">
      <t>ゲンカ</t>
    </rPh>
    <rPh sb="2" eb="3">
      <t>カ</t>
    </rPh>
    <rPh sb="3" eb="4">
      <t>リツ</t>
    </rPh>
    <phoneticPr fontId="4"/>
  </si>
  <si>
    <t>M番で先頭工程が＠BYのみ（１工程だけ）は４番で計算</t>
    <rPh sb="1" eb="2">
      <t>バン</t>
    </rPh>
    <rPh sb="3" eb="5">
      <t>セントウ</t>
    </rPh>
    <rPh sb="5" eb="7">
      <t>コウテイ</t>
    </rPh>
    <rPh sb="15" eb="17">
      <t>コウテイ</t>
    </rPh>
    <rPh sb="22" eb="23">
      <t>バン</t>
    </rPh>
    <rPh sb="24" eb="26">
      <t>ケイサン</t>
    </rPh>
    <phoneticPr fontId="4"/>
  </si>
  <si>
    <t>購入品</t>
    <rPh sb="0" eb="2">
      <t>コウニュウ</t>
    </rPh>
    <rPh sb="2" eb="3">
      <t>ヒン</t>
    </rPh>
    <phoneticPr fontId="4"/>
  </si>
  <si>
    <t>電装部品</t>
    <rPh sb="0" eb="2">
      <t>デンソウ</t>
    </rPh>
    <rPh sb="2" eb="4">
      <t>ブヒン</t>
    </rPh>
    <phoneticPr fontId="4"/>
  </si>
  <si>
    <t>E,F番</t>
    <rPh sb="3" eb="4">
      <t>バン</t>
    </rPh>
    <phoneticPr fontId="4"/>
  </si>
  <si>
    <t>P番</t>
    <rPh sb="1" eb="2">
      <t>バン</t>
    </rPh>
    <phoneticPr fontId="4"/>
  </si>
  <si>
    <t>A番</t>
    <rPh sb="1" eb="2">
      <t>バン</t>
    </rPh>
    <phoneticPr fontId="4"/>
  </si>
  <si>
    <t>割り戻し率</t>
  </si>
  <si>
    <t>A番のみ割り算を実施しているので注意</t>
    <rPh sb="1" eb="2">
      <t>バン</t>
    </rPh>
    <rPh sb="4" eb="5">
      <t>ワ</t>
    </rPh>
    <rPh sb="6" eb="7">
      <t>ザン</t>
    </rPh>
    <rPh sb="8" eb="10">
      <t>ジッシ</t>
    </rPh>
    <rPh sb="16" eb="18">
      <t>チュウイ</t>
    </rPh>
    <phoneticPr fontId="4"/>
  </si>
  <si>
    <t>L番</t>
    <rPh sb="1" eb="2">
      <t>バン</t>
    </rPh>
    <phoneticPr fontId="4"/>
  </si>
  <si>
    <t>CV番</t>
    <rPh sb="2" eb="3">
      <t>バン</t>
    </rPh>
    <phoneticPr fontId="4"/>
  </si>
  <si>
    <t>UM番</t>
    <rPh sb="2" eb="3">
      <t>バン</t>
    </rPh>
    <phoneticPr fontId="4"/>
  </si>
  <si>
    <t>2025/10/1まで</t>
    <phoneticPr fontId="4"/>
  </si>
  <si>
    <t>2025/4/6まで</t>
    <phoneticPr fontId="4"/>
  </si>
  <si>
    <t>HI仕切　＝　 T仕切　÷　0.52　×　0.57  　×　1.05</t>
    <phoneticPr fontId="4"/>
  </si>
  <si>
    <t>HI仕切</t>
    <phoneticPr fontId="4"/>
  </si>
  <si>
    <t>変数1</t>
    <rPh sb="0" eb="2">
      <t>ヘンスウ</t>
    </rPh>
    <phoneticPr fontId="4"/>
  </si>
  <si>
    <t>（1円単位切り上げ）</t>
  </si>
  <si>
    <t>変数2</t>
    <rPh sb="0" eb="2">
      <t>ヘンスウ</t>
    </rPh>
    <phoneticPr fontId="4"/>
  </si>
  <si>
    <t>変数3</t>
    <rPh sb="0" eb="2">
      <t>ヘンスウ</t>
    </rPh>
    <phoneticPr fontId="4"/>
  </si>
  <si>
    <t>仮上代　＝　T仕切×（1／0.52　×　1.05　×　1.05)　×　1.1　×　1.1　×1.08　←4番以外</t>
    <phoneticPr fontId="4"/>
  </si>
  <si>
    <t>仮上代　＝　T仕切×（1／0.52　×　1.05　×　1.05)　×　1.1　×　1.1　←4番以外</t>
    <phoneticPr fontId="4"/>
  </si>
  <si>
    <t>仮上代　＝　T仕切×（1／0.52　×　1.05　×　1.05)　×　1.1　←4番以外</t>
  </si>
  <si>
    <t>仮上代　＝　T仕切×（1／0.52　×　1.05)　←4番</t>
  </si>
  <si>
    <t>仮上代</t>
    <phoneticPr fontId="4"/>
  </si>
  <si>
    <t>(4番以外)</t>
    <phoneticPr fontId="4"/>
  </si>
  <si>
    <t>変数4</t>
    <rPh sb="0" eb="2">
      <t>ヘンスウ</t>
    </rPh>
    <phoneticPr fontId="4"/>
  </si>
  <si>
    <t>ディラー仕切　＝　HI仕切　×　1.1　×1.05</t>
    <phoneticPr fontId="4"/>
  </si>
  <si>
    <t>ディラー仕切　＝　HI仕切　×　1.1</t>
  </si>
  <si>
    <t>ディラー仕切</t>
    <phoneticPr fontId="4"/>
  </si>
  <si>
    <t>変数</t>
    <rPh sb="0" eb="2">
      <t>ヘンスウ</t>
    </rPh>
    <phoneticPr fontId="4"/>
  </si>
  <si>
    <t>上代　　＝　仮上代が40,000以上なら　×　1.2</t>
    <phoneticPr fontId="4"/>
  </si>
  <si>
    <t>上代　　＝　仮上代が33,000以上なら　×　1.2</t>
  </si>
  <si>
    <t>　　　　　　仮上代が40,000未満15,000以上なら　×　1.3</t>
    <phoneticPr fontId="4"/>
  </si>
  <si>
    <t>　　　　　　仮上代が33,000未満11,000以上なら　×　1.3</t>
  </si>
  <si>
    <t>　　　　　　仮上代が15,000未満なら　×　1.5</t>
    <phoneticPr fontId="4"/>
  </si>
  <si>
    <t>　　　　　　仮上代が11,000未満なら　×　1.5</t>
  </si>
  <si>
    <t>（1000円以上は10円単位四捨五入、1000円未満なら1円単位四捨五入）</t>
  </si>
  <si>
    <t>仮上代の価格帯</t>
    <rPh sb="0" eb="1">
      <t>カリ</t>
    </rPh>
    <rPh sb="1" eb="3">
      <t>ジョウダイ</t>
    </rPh>
    <rPh sb="4" eb="7">
      <t>カカクタイ</t>
    </rPh>
    <phoneticPr fontId="4"/>
  </si>
  <si>
    <t>掛率</t>
    <rPh sb="0" eb="1">
      <t>カ</t>
    </rPh>
    <rPh sb="1" eb="2">
      <t>リツ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</si>
</sst>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 円/時間&quot;"/>
    <numFmt numFmtId="177" formatCode="0.0%"/>
    <numFmt numFmtId="178" formatCode="0&quot;円/分&quot;"/>
  </numFmts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1">
      <alignment vertical="center"/>
    </xf>
    <xf numFmtId="0" fontId="2" fillId="0" borderId="0" xfId="1" applyFont="1">
      <alignment vertical="center"/>
    </xf>
    <xf numFmtId="176" fontId="0" fillId="0" borderId="0" xfId="2" applyNumberFormat="1" applyFont="1">
      <alignment vertical="center"/>
    </xf>
    <xf numFmtId="177" fontId="1" fillId="2" borderId="0" xfId="1" applyNumberFormat="1" applyFill="1">
      <alignment vertical="center"/>
    </xf>
    <xf numFmtId="9" fontId="0" fillId="0" borderId="0" xfId="3" applyFont="1">
      <alignment vertical="center"/>
    </xf>
    <xf numFmtId="9" fontId="1" fillId="0" borderId="0" xfId="1" applyNumberFormat="1">
      <alignment vertical="center"/>
    </xf>
    <xf numFmtId="178" fontId="1" fillId="0" borderId="0" xfId="1" applyNumberFormat="1">
      <alignment vertical="center"/>
    </xf>
  </cellXfs>
  <cellStyles count="4">
    <cellStyle name="パーセント 2" xfId="3" xr:uid="{922A02C6-8301-4143-B4F8-FE395A0C3445}"/>
    <cellStyle name="桁区切り 2" xfId="2" xr:uid="{D6A9BE22-C74E-4935-BC51-FEAA286FF5CE}"/>
    <cellStyle name="標準" xfId="0" builtinId="0"/>
    <cellStyle name="標準 2" xfId="1" xr:uid="{9BEAE026-E5A7-4013-9373-207B097381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7096;&#21697;&#20385;&#26684;&#35336;&#31639;&#12510;&#12463;&#12525;Ver10_202506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括改"/>
      <sheetName val="一括"/>
      <sheetName val="取込データ"/>
      <sheetName val="M番"/>
      <sheetName val="E番"/>
      <sheetName val="H_一括"/>
      <sheetName val="A番"/>
      <sheetName val="A番構成部品_単価ゼロ"/>
      <sheetName val="価格比較"/>
      <sheetName val="H_M番"/>
      <sheetName val="H_A番"/>
      <sheetName val="A番計算式付"/>
      <sheetName val="A番計算説明"/>
      <sheetName val="TEMP"/>
      <sheetName val="T仕切計算メモ"/>
      <sheetName val="上代計算メモ"/>
      <sheetName val="tmp"/>
      <sheetName val="テーブル"/>
      <sheetName val="アフター部品単価の決め方"/>
      <sheetName val="★ROM価格表（2022.1.21～）"/>
      <sheetName val="改訂履歴"/>
      <sheetName val="E番計算(高橋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D5A7-A54F-4DEA-97B5-4CC543E80682}">
  <sheetPr codeName="Sheet4">
    <tabColor theme="7" tint="0.59999389629810485"/>
  </sheetPr>
  <dimension ref="A1:Q74"/>
  <sheetViews>
    <sheetView tabSelected="1" topLeftCell="A2" zoomScale="130" zoomScaleNormal="130" workbookViewId="0">
      <selection activeCell="F20" sqref="F20"/>
    </sheetView>
  </sheetViews>
  <sheetFormatPr defaultRowHeight="18"/>
  <cols>
    <col min="1" max="1" width="14.19921875" style="1" customWidth="1"/>
    <col min="2" max="2" width="12.09765625" style="1" bestFit="1" customWidth="1"/>
    <col min="3" max="16384" width="8.796875" style="1"/>
  </cols>
  <sheetData>
    <row r="1" spans="1:11">
      <c r="A1" s="1" t="s">
        <v>0</v>
      </c>
      <c r="D1" s="1" t="s">
        <v>1</v>
      </c>
      <c r="F1" s="2" t="s">
        <v>2</v>
      </c>
      <c r="H1" s="1" t="s">
        <v>3</v>
      </c>
      <c r="I1" s="2" t="s">
        <v>4</v>
      </c>
    </row>
    <row r="2" spans="1:11">
      <c r="A2" s="1" t="s">
        <v>5</v>
      </c>
      <c r="B2" s="1" t="s">
        <v>6</v>
      </c>
      <c r="D2" s="1" t="s">
        <v>7</v>
      </c>
      <c r="F2" s="1" t="s">
        <v>8</v>
      </c>
      <c r="H2" s="1" t="s">
        <v>8</v>
      </c>
    </row>
    <row r="3" spans="1:11">
      <c r="A3" s="1">
        <v>1.29</v>
      </c>
      <c r="B3" s="3">
        <v>3737</v>
      </c>
      <c r="D3" s="1">
        <v>0</v>
      </c>
      <c r="E3" s="1">
        <v>500</v>
      </c>
      <c r="F3" s="4">
        <v>3.4650000000000003</v>
      </c>
      <c r="H3" s="5">
        <v>3.3000000000000003</v>
      </c>
      <c r="I3" s="6">
        <v>3</v>
      </c>
    </row>
    <row r="4" spans="1:11">
      <c r="D4" s="1">
        <v>500</v>
      </c>
      <c r="E4" s="1">
        <v>5000</v>
      </c>
      <c r="F4" s="4">
        <v>3.4650000000000003</v>
      </c>
      <c r="H4" s="5">
        <v>3.3000000000000003</v>
      </c>
      <c r="I4" s="6">
        <v>3</v>
      </c>
      <c r="K4" s="1" t="s">
        <v>9</v>
      </c>
    </row>
    <row r="5" spans="1:11">
      <c r="D5" s="1">
        <v>5000</v>
      </c>
      <c r="F5" s="4">
        <v>2.8875000000000002</v>
      </c>
      <c r="H5" s="5">
        <v>2.75</v>
      </c>
      <c r="I5" s="6">
        <v>2.5</v>
      </c>
    </row>
    <row r="6" spans="1:11">
      <c r="F6" s="6"/>
    </row>
    <row r="8" spans="1:11">
      <c r="D8" s="1" t="s">
        <v>1</v>
      </c>
    </row>
    <row r="9" spans="1:11">
      <c r="A9" s="1" t="s">
        <v>10</v>
      </c>
      <c r="F9" s="1" t="s">
        <v>8</v>
      </c>
      <c r="H9" s="1" t="s">
        <v>8</v>
      </c>
    </row>
    <row r="10" spans="1:11">
      <c r="F10" s="4">
        <v>1.5246000000000002</v>
      </c>
      <c r="H10" s="5">
        <v>1.4520000000000002</v>
      </c>
      <c r="I10" s="6">
        <v>1.32</v>
      </c>
    </row>
    <row r="17" spans="1:9">
      <c r="A17" s="1" t="s">
        <v>11</v>
      </c>
      <c r="D17" s="1" t="s">
        <v>1</v>
      </c>
    </row>
    <row r="18" spans="1:9">
      <c r="A18" s="1" t="s">
        <v>12</v>
      </c>
      <c r="B18" s="1" t="s">
        <v>6</v>
      </c>
      <c r="F18" s="1" t="s">
        <v>8</v>
      </c>
      <c r="H18" s="1" t="s">
        <v>8</v>
      </c>
    </row>
    <row r="19" spans="1:9">
      <c r="B19" s="7">
        <v>100</v>
      </c>
      <c r="F19" s="4">
        <v>1.5246000000000002</v>
      </c>
      <c r="H19" s="5">
        <v>1.4520000000000002</v>
      </c>
      <c r="I19" s="6">
        <v>1.32</v>
      </c>
    </row>
    <row r="20" spans="1:9">
      <c r="C20" s="1">
        <v>21770</v>
      </c>
    </row>
    <row r="22" spans="1:9">
      <c r="A22" s="1" t="s">
        <v>13</v>
      </c>
      <c r="F22" s="1" t="s">
        <v>8</v>
      </c>
    </row>
    <row r="23" spans="1:9">
      <c r="F23" s="4">
        <v>1.5246000000000002</v>
      </c>
    </row>
    <row r="25" spans="1:9">
      <c r="D25" s="1" t="s">
        <v>1</v>
      </c>
    </row>
    <row r="26" spans="1:9">
      <c r="A26" s="1" t="s">
        <v>14</v>
      </c>
      <c r="F26" s="1" t="s">
        <v>15</v>
      </c>
      <c r="H26" s="1" t="s">
        <v>15</v>
      </c>
    </row>
    <row r="27" spans="1:9">
      <c r="B27" s="1" t="s">
        <v>16</v>
      </c>
      <c r="F27" s="4">
        <v>0.85</v>
      </c>
      <c r="H27" s="5">
        <v>0.9</v>
      </c>
      <c r="I27" s="6">
        <v>1.32</v>
      </c>
    </row>
    <row r="30" spans="1:9">
      <c r="D30" s="1" t="s">
        <v>1</v>
      </c>
    </row>
    <row r="31" spans="1:9">
      <c r="A31" s="1" t="s">
        <v>17</v>
      </c>
      <c r="F31" s="1" t="s">
        <v>8</v>
      </c>
      <c r="H31" s="1" t="s">
        <v>8</v>
      </c>
    </row>
    <row r="32" spans="1:9">
      <c r="F32" s="4">
        <v>1.5246000000000002</v>
      </c>
      <c r="H32" s="5">
        <v>1.4520000000000002</v>
      </c>
      <c r="I32" s="6">
        <v>1.32</v>
      </c>
    </row>
    <row r="34" spans="1:14">
      <c r="D34" s="1" t="s">
        <v>1</v>
      </c>
    </row>
    <row r="35" spans="1:14">
      <c r="A35" s="1" t="s">
        <v>18</v>
      </c>
      <c r="F35" s="1" t="s">
        <v>8</v>
      </c>
      <c r="H35" s="1" t="s">
        <v>8</v>
      </c>
    </row>
    <row r="36" spans="1:14">
      <c r="F36" s="4">
        <v>1.5246000000000002</v>
      </c>
      <c r="H36" s="5">
        <v>1.4520000000000002</v>
      </c>
      <c r="I36" s="6">
        <v>1.32</v>
      </c>
    </row>
    <row r="38" spans="1:14">
      <c r="D38" s="1" t="s">
        <v>1</v>
      </c>
    </row>
    <row r="39" spans="1:14">
      <c r="A39" s="1" t="s">
        <v>19</v>
      </c>
      <c r="F39" s="1" t="s">
        <v>8</v>
      </c>
    </row>
    <row r="40" spans="1:14">
      <c r="F40" s="4">
        <v>1.5246000000000002</v>
      </c>
      <c r="H40" s="5"/>
      <c r="I40" s="6"/>
    </row>
    <row r="48" spans="1:14">
      <c r="H48" s="1" t="s">
        <v>20</v>
      </c>
      <c r="N48" s="1" t="s">
        <v>21</v>
      </c>
    </row>
    <row r="50" spans="1:17">
      <c r="A50" s="1" t="s">
        <v>22</v>
      </c>
      <c r="H50" s="1" t="s">
        <v>22</v>
      </c>
      <c r="N50" s="1" t="s">
        <v>22</v>
      </c>
    </row>
    <row r="51" spans="1:17">
      <c r="D51" s="1" t="s">
        <v>23</v>
      </c>
      <c r="E51" s="1" t="s">
        <v>24</v>
      </c>
      <c r="F51" s="1">
        <v>0.52</v>
      </c>
      <c r="H51" s="1" t="s">
        <v>23</v>
      </c>
      <c r="I51" s="1" t="s">
        <v>24</v>
      </c>
      <c r="J51" s="1">
        <v>0.52</v>
      </c>
      <c r="N51" s="1" t="s">
        <v>23</v>
      </c>
      <c r="O51" s="1" t="s">
        <v>24</v>
      </c>
      <c r="P51" s="1">
        <v>0.52</v>
      </c>
    </row>
    <row r="52" spans="1:17">
      <c r="D52" s="1" t="s">
        <v>25</v>
      </c>
      <c r="E52" s="1" t="s">
        <v>26</v>
      </c>
      <c r="F52" s="1">
        <v>0.56999999999999995</v>
      </c>
      <c r="H52" s="1" t="s">
        <v>25</v>
      </c>
      <c r="I52" s="1" t="s">
        <v>26</v>
      </c>
      <c r="J52" s="1">
        <v>0.56999999999999995</v>
      </c>
      <c r="N52" s="1" t="s">
        <v>25</v>
      </c>
      <c r="O52" s="1" t="s">
        <v>26</v>
      </c>
      <c r="P52" s="1">
        <v>0.56999999999999995</v>
      </c>
    </row>
    <row r="53" spans="1:17">
      <c r="E53" s="1" t="s">
        <v>27</v>
      </c>
      <c r="F53" s="1">
        <v>1.05</v>
      </c>
      <c r="I53" s="1" t="s">
        <v>27</v>
      </c>
      <c r="J53" s="1">
        <v>1.05</v>
      </c>
      <c r="O53" s="1" t="s">
        <v>27</v>
      </c>
      <c r="P53" s="1">
        <v>1.05</v>
      </c>
    </row>
    <row r="55" spans="1:17">
      <c r="A55" s="1" t="s">
        <v>28</v>
      </c>
      <c r="H55" s="1" t="s">
        <v>29</v>
      </c>
      <c r="N55" s="1" t="s">
        <v>30</v>
      </c>
    </row>
    <row r="56" spans="1:17">
      <c r="A56" s="1" t="s">
        <v>31</v>
      </c>
      <c r="H56" s="1" t="s">
        <v>31</v>
      </c>
      <c r="N56" s="1" t="s">
        <v>31</v>
      </c>
    </row>
    <row r="57" spans="1:17">
      <c r="D57" s="1" t="s">
        <v>32</v>
      </c>
      <c r="E57" s="1" t="s">
        <v>24</v>
      </c>
      <c r="F57" s="1">
        <v>0.52</v>
      </c>
      <c r="H57" s="1" t="s">
        <v>32</v>
      </c>
      <c r="I57" s="1" t="s">
        <v>24</v>
      </c>
      <c r="J57" s="1">
        <v>0.52</v>
      </c>
      <c r="N57" s="1" t="s">
        <v>32</v>
      </c>
      <c r="O57" s="1" t="s">
        <v>24</v>
      </c>
      <c r="P57" s="1">
        <v>0.52</v>
      </c>
    </row>
    <row r="58" spans="1:17">
      <c r="D58" s="1" t="s">
        <v>25</v>
      </c>
      <c r="E58" s="1" t="s">
        <v>26</v>
      </c>
      <c r="F58" s="1">
        <v>1.05</v>
      </c>
      <c r="H58" s="1" t="s">
        <v>25</v>
      </c>
      <c r="I58" s="1" t="s">
        <v>26</v>
      </c>
      <c r="J58" s="1">
        <v>1.05</v>
      </c>
      <c r="N58" s="1" t="s">
        <v>25</v>
      </c>
      <c r="O58" s="1" t="s">
        <v>26</v>
      </c>
      <c r="P58" s="1">
        <v>1.05</v>
      </c>
    </row>
    <row r="59" spans="1:17">
      <c r="E59" s="1" t="s">
        <v>27</v>
      </c>
      <c r="F59" s="1">
        <v>1.05</v>
      </c>
      <c r="G59" s="1" t="s">
        <v>33</v>
      </c>
      <c r="I59" s="1" t="s">
        <v>27</v>
      </c>
      <c r="J59" s="1">
        <v>1.05</v>
      </c>
      <c r="K59" s="1" t="s">
        <v>33</v>
      </c>
      <c r="O59" s="1" t="s">
        <v>27</v>
      </c>
      <c r="P59" s="1">
        <v>1.05</v>
      </c>
      <c r="Q59" s="1" t="s">
        <v>33</v>
      </c>
    </row>
    <row r="60" spans="1:17">
      <c r="E60" s="1" t="s">
        <v>34</v>
      </c>
      <c r="F60" s="1">
        <f>1.1*1.1*1.08</f>
        <v>1.3068000000000002</v>
      </c>
      <c r="G60" s="1" t="s">
        <v>33</v>
      </c>
      <c r="I60" s="1" t="s">
        <v>34</v>
      </c>
      <c r="J60" s="1">
        <f>1.1*1.1</f>
        <v>1.2100000000000002</v>
      </c>
      <c r="K60" s="1" t="s">
        <v>33</v>
      </c>
      <c r="O60" s="1" t="s">
        <v>34</v>
      </c>
      <c r="P60" s="1">
        <v>1.1000000000000001</v>
      </c>
      <c r="Q60" s="1" t="s">
        <v>33</v>
      </c>
    </row>
    <row r="62" spans="1:17">
      <c r="A62" s="1" t="s">
        <v>35</v>
      </c>
      <c r="H62" s="1" t="s">
        <v>36</v>
      </c>
      <c r="N62" s="1" t="s">
        <v>36</v>
      </c>
    </row>
    <row r="63" spans="1:17">
      <c r="D63" s="1" t="s">
        <v>37</v>
      </c>
      <c r="E63" s="1" t="s">
        <v>38</v>
      </c>
      <c r="F63" s="1">
        <f>1.1*1.05</f>
        <v>1.1550000000000002</v>
      </c>
      <c r="H63" s="1" t="s">
        <v>37</v>
      </c>
      <c r="I63" s="1" t="s">
        <v>38</v>
      </c>
      <c r="J63" s="1">
        <v>1.1000000000000001</v>
      </c>
      <c r="N63" s="1" t="s">
        <v>37</v>
      </c>
      <c r="O63" s="1" t="s">
        <v>38</v>
      </c>
      <c r="P63" s="1">
        <v>1.1000000000000001</v>
      </c>
    </row>
    <row r="64" spans="1:17">
      <c r="D64" s="1" t="s">
        <v>25</v>
      </c>
      <c r="H64" s="1" t="s">
        <v>25</v>
      </c>
      <c r="N64" s="1" t="s">
        <v>25</v>
      </c>
    </row>
    <row r="66" spans="1:16">
      <c r="A66" s="1" t="s">
        <v>39</v>
      </c>
      <c r="H66" s="1" t="s">
        <v>40</v>
      </c>
      <c r="N66" s="1" t="s">
        <v>40</v>
      </c>
    </row>
    <row r="67" spans="1:16">
      <c r="A67" s="1" t="s">
        <v>41</v>
      </c>
      <c r="H67" s="1" t="s">
        <v>42</v>
      </c>
      <c r="N67" s="1" t="s">
        <v>42</v>
      </c>
    </row>
    <row r="68" spans="1:16">
      <c r="A68" s="1" t="s">
        <v>43</v>
      </c>
      <c r="H68" s="1" t="s">
        <v>44</v>
      </c>
      <c r="N68" s="1" t="s">
        <v>44</v>
      </c>
    </row>
    <row r="69" spans="1:16">
      <c r="A69" s="1" t="s">
        <v>45</v>
      </c>
      <c r="H69" s="1" t="s">
        <v>45</v>
      </c>
      <c r="N69" s="1" t="s">
        <v>45</v>
      </c>
    </row>
    <row r="70" spans="1:16">
      <c r="D70" s="1" t="s">
        <v>46</v>
      </c>
      <c r="F70" s="1" t="s">
        <v>47</v>
      </c>
      <c r="H70" s="1" t="s">
        <v>46</v>
      </c>
      <c r="J70" s="1" t="s">
        <v>47</v>
      </c>
      <c r="N70" s="1" t="s">
        <v>46</v>
      </c>
      <c r="P70" s="1" t="s">
        <v>47</v>
      </c>
    </row>
    <row r="71" spans="1:16">
      <c r="D71" s="1">
        <v>0</v>
      </c>
      <c r="E71" s="1">
        <v>15000</v>
      </c>
      <c r="F71" s="1">
        <v>1.5</v>
      </c>
      <c r="H71" s="1">
        <v>0</v>
      </c>
      <c r="I71" s="1">
        <v>11000</v>
      </c>
      <c r="J71" s="1">
        <v>1.5</v>
      </c>
      <c r="N71" s="1">
        <v>0</v>
      </c>
      <c r="O71" s="1">
        <v>11000</v>
      </c>
      <c r="P71" s="1">
        <v>1.5</v>
      </c>
    </row>
    <row r="72" spans="1:16">
      <c r="D72" s="1">
        <v>15000</v>
      </c>
      <c r="E72" s="1">
        <v>40000</v>
      </c>
      <c r="F72" s="1">
        <v>1.3</v>
      </c>
      <c r="H72" s="1">
        <v>11000</v>
      </c>
      <c r="I72" s="1">
        <v>33000</v>
      </c>
      <c r="J72" s="1">
        <v>1.3</v>
      </c>
      <c r="N72" s="1">
        <v>11000</v>
      </c>
      <c r="O72" s="1">
        <v>33000</v>
      </c>
      <c r="P72" s="1">
        <v>1.3</v>
      </c>
    </row>
    <row r="73" spans="1:16">
      <c r="D73" s="1">
        <v>40000</v>
      </c>
      <c r="F73" s="1">
        <v>1.2</v>
      </c>
      <c r="H73" s="1">
        <v>33000</v>
      </c>
      <c r="J73" s="1">
        <v>1.2</v>
      </c>
      <c r="N73" s="1">
        <v>33000</v>
      </c>
      <c r="P73" s="1">
        <v>1.2</v>
      </c>
    </row>
    <row r="74" spans="1:16">
      <c r="D74" s="6"/>
    </row>
  </sheetData>
  <phoneticPr fontId="3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R24" sqref="R24"/>
    </sheetView>
  </sheetViews>
  <sheetFormatPr defaultRowHeight="18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 Yuma</dc:creator>
  <cp:lastModifiedBy>Tani Yuma</cp:lastModifiedBy>
  <dcterms:created xsi:type="dcterms:W3CDTF">2015-06-05T18:19:34Z</dcterms:created>
  <dcterms:modified xsi:type="dcterms:W3CDTF">2026-03-05T05:39:08Z</dcterms:modified>
</cp:coreProperties>
</file>